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eilkhera/Desktop/coil-optimization-main/"/>
    </mc:Choice>
  </mc:AlternateContent>
  <xr:revisionPtr revIDLastSave="0" documentId="13_ncr:1_{60BA21F6-28C6-1043-B1D7-B50854C521EB}" xr6:coauthVersionLast="47" xr6:coauthVersionMax="47" xr10:uidLastSave="{00000000-0000-0000-0000-000000000000}"/>
  <bookViews>
    <workbookView xWindow="30240" yWindow="-1460" windowWidth="38400" windowHeight="19240" xr2:uid="{7BF65488-C4C2-6442-AAAD-2E023BE731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2" i="1" l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L26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I1" i="1"/>
  <c r="G3" i="1"/>
  <c r="D1" i="1"/>
  <c r="B16" i="1"/>
  <c r="D16" i="1" s="1"/>
  <c r="B24" i="1"/>
  <c r="D24" i="1" s="1"/>
  <c r="B23" i="1"/>
  <c r="D23" i="1" s="1"/>
  <c r="B22" i="1"/>
  <c r="D22" i="1" s="1"/>
  <c r="B21" i="1"/>
  <c r="D21" i="1" s="1"/>
  <c r="B20" i="1"/>
  <c r="D20" i="1" s="1"/>
  <c r="B19" i="1"/>
  <c r="D19" i="1" s="1"/>
  <c r="B18" i="1"/>
  <c r="D18" i="1" s="1"/>
  <c r="B17" i="1"/>
  <c r="D17" i="1" s="1"/>
  <c r="B15" i="1"/>
  <c r="D15" i="1" s="1"/>
  <c r="B14" i="1"/>
  <c r="D14" i="1" s="1"/>
  <c r="B13" i="1"/>
  <c r="D13" i="1" s="1"/>
  <c r="B12" i="1"/>
  <c r="D12" i="1" s="1"/>
  <c r="B11" i="1"/>
  <c r="D11" i="1" s="1"/>
  <c r="B10" i="1"/>
  <c r="D10" i="1" s="1"/>
  <c r="B9" i="1"/>
  <c r="D9" i="1" s="1"/>
  <c r="B8" i="1"/>
  <c r="D8" i="1" s="1"/>
  <c r="B7" i="1"/>
  <c r="D7" i="1" s="1"/>
  <c r="B6" i="1"/>
  <c r="D6" i="1" s="1"/>
  <c r="B5" i="1"/>
  <c r="D5" i="1" s="1"/>
  <c r="B4" i="1"/>
  <c r="D4" i="1" s="1"/>
  <c r="B3" i="1"/>
  <c r="D3" i="1" s="1"/>
  <c r="B2" i="1"/>
  <c r="D2" i="1" s="1"/>
  <c r="B1" i="1"/>
  <c r="E13" i="1" l="1"/>
  <c r="E17" i="1"/>
  <c r="E11" i="1"/>
  <c r="E9" i="1"/>
  <c r="E12" i="1"/>
  <c r="E10" i="1"/>
  <c r="E3" i="1"/>
  <c r="E4" i="1"/>
  <c r="E5" i="1"/>
  <c r="E6" i="1"/>
  <c r="E8" i="1"/>
  <c r="E7" i="1"/>
  <c r="E23" i="1"/>
  <c r="E24" i="1"/>
  <c r="E2" i="1"/>
  <c r="E22" i="1"/>
  <c r="E21" i="1"/>
  <c r="E20" i="1"/>
  <c r="E19" i="1"/>
  <c r="E18" i="1"/>
  <c r="E16" i="1"/>
  <c r="E15" i="1"/>
  <c r="E14" i="1"/>
  <c r="F14" i="1" s="1"/>
  <c r="F12" i="1" l="1"/>
  <c r="F10" i="1"/>
  <c r="F7" i="1"/>
  <c r="F24" i="1"/>
  <c r="F6" i="1"/>
  <c r="F5" i="1"/>
  <c r="F22" i="1"/>
  <c r="F16" i="1"/>
  <c r="F18" i="1"/>
  <c r="F19" i="1"/>
  <c r="F17" i="1"/>
  <c r="F8" i="1"/>
  <c r="F15" i="1"/>
  <c r="F20" i="1"/>
  <c r="F21" i="1"/>
  <c r="F9" i="1"/>
  <c r="F11" i="1"/>
  <c r="F23" i="1"/>
  <c r="F13" i="1"/>
  <c r="F3" i="1"/>
  <c r="F4" i="1"/>
  <c r="J13" i="1" l="1"/>
  <c r="J3" i="1" l="1"/>
  <c r="J18" i="1"/>
  <c r="J5" i="1"/>
  <c r="J20" i="1"/>
  <c r="K20" i="1" s="1"/>
  <c r="J17" i="1"/>
  <c r="J14" i="1"/>
  <c r="K14" i="1" s="1"/>
  <c r="J9" i="1"/>
  <c r="J8" i="1"/>
  <c r="J7" i="1"/>
  <c r="J23" i="1"/>
  <c r="J15" i="1"/>
  <c r="J22" i="1"/>
  <c r="J21" i="1"/>
  <c r="J19" i="1"/>
  <c r="J12" i="1"/>
  <c r="K13" i="1" s="1"/>
  <c r="J1" i="1"/>
  <c r="J4" i="1"/>
  <c r="J10" i="1"/>
  <c r="J2" i="1"/>
  <c r="J24" i="1"/>
  <c r="J16" i="1"/>
  <c r="J6" i="1"/>
  <c r="J11" i="1"/>
  <c r="K11" i="1" s="1"/>
  <c r="K8" i="1" l="1"/>
  <c r="K22" i="1"/>
  <c r="K16" i="1"/>
  <c r="K4" i="1"/>
  <c r="K6" i="1"/>
  <c r="K18" i="1"/>
  <c r="K2" i="1"/>
  <c r="K5" i="1"/>
  <c r="L6" i="1" s="1"/>
  <c r="K19" i="1"/>
  <c r="L20" i="1" s="1"/>
  <c r="K9" i="1"/>
  <c r="L9" i="1" s="1"/>
  <c r="K23" i="1"/>
  <c r="L23" i="1" s="1"/>
  <c r="K24" i="1"/>
  <c r="K17" i="1"/>
  <c r="K3" i="1"/>
  <c r="K10" i="1"/>
  <c r="L11" i="1" s="1"/>
  <c r="K7" i="1"/>
  <c r="K21" i="1"/>
  <c r="L22" i="1" s="1"/>
  <c r="K12" i="1"/>
  <c r="L13" i="1" s="1"/>
  <c r="K15" i="1"/>
  <c r="L15" i="1" s="1"/>
  <c r="L14" i="1"/>
  <c r="M3" i="1" l="1"/>
  <c r="C56" i="1" s="1"/>
  <c r="L19" i="1"/>
  <c r="L5" i="1"/>
  <c r="L17" i="1"/>
  <c r="L7" i="1"/>
  <c r="L24" i="1"/>
  <c r="L3" i="1"/>
  <c r="L18" i="1"/>
  <c r="L12" i="1"/>
  <c r="L4" i="1"/>
  <c r="L21" i="1"/>
  <c r="L8" i="1"/>
  <c r="L10" i="1"/>
  <c r="L16" i="1"/>
  <c r="C46" i="1" l="1"/>
  <c r="C59" i="1"/>
  <c r="C37" i="1"/>
  <c r="C43" i="1"/>
  <c r="C60" i="1"/>
  <c r="C50" i="1"/>
  <c r="C54" i="1"/>
  <c r="C42" i="1"/>
  <c r="C52" i="1"/>
  <c r="C55" i="1"/>
  <c r="D56" i="1" s="1"/>
  <c r="C44" i="1"/>
  <c r="C38" i="1"/>
  <c r="C51" i="1"/>
  <c r="C58" i="1"/>
  <c r="C48" i="1"/>
  <c r="C53" i="1"/>
  <c r="C40" i="1"/>
  <c r="C49" i="1"/>
  <c r="C47" i="1"/>
  <c r="C41" i="1"/>
  <c r="C45" i="1"/>
  <c r="C39" i="1"/>
  <c r="C57" i="1"/>
  <c r="D57" i="1" s="1"/>
  <c r="D38" i="1" l="1"/>
  <c r="D44" i="1"/>
  <c r="D41" i="1"/>
  <c r="D60" i="1"/>
  <c r="D59" i="1"/>
  <c r="D55" i="1"/>
  <c r="D51" i="1"/>
  <c r="D43" i="1"/>
  <c r="D52" i="1"/>
  <c r="D45" i="1"/>
  <c r="D39" i="1"/>
  <c r="D49" i="1"/>
  <c r="D48" i="1"/>
  <c r="D54" i="1"/>
  <c r="D53" i="1"/>
  <c r="D47" i="1"/>
  <c r="D42" i="1"/>
  <c r="D50" i="1"/>
  <c r="D46" i="1"/>
  <c r="D40" i="1"/>
  <c r="D58" i="1"/>
</calcChain>
</file>

<file path=xl/sharedStrings.xml><?xml version="1.0" encoding="utf-8"?>
<sst xmlns="http://schemas.openxmlformats.org/spreadsheetml/2006/main" count="15" uniqueCount="12">
  <si>
    <t>Calculated length</t>
  </si>
  <si>
    <t>Measured length</t>
  </si>
  <si>
    <t>Delta</t>
  </si>
  <si>
    <t>Delta delta</t>
  </si>
  <si>
    <t>delta delta delta</t>
  </si>
  <si>
    <t>First bias</t>
  </si>
  <si>
    <t>delta</t>
  </si>
  <si>
    <t>delta delta</t>
  </si>
  <si>
    <t>Second bias</t>
  </si>
  <si>
    <t>First bias removal</t>
  </si>
  <si>
    <t>Second bias removal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</si>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</sst>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312F1-4D2A-9840-8A12-57C12C0AA585}">
  <dimension ref="A1:M63"/>
  <sheetViews>
    <sheetView tabSelected="1" topLeftCell="E1" zoomScale="261" zoomScaleNormal="261" workbookViewId="0">
      <selection activeCell="D62" sqref="D62"/>
    </sheetView>
  </sheetViews>
  <sheetFormatPr baseColWidth="10" defaultRowHeight="16" x14ac:dyDescent="0.2"/>
  <cols>
    <col min="2" max="2" width="17.6640625" customWidth="1"/>
    <col min="3" max="3" width="15.6640625" customWidth="1"/>
    <col min="4" max="4" width="11.83203125" bestFit="1" customWidth="1"/>
    <col min="6" max="6" width="14.6640625" customWidth="1"/>
    <col min="9" max="9" width="17" customWidth="1"/>
    <col min="12" max="12" width="14.1640625" customWidth="1"/>
  </cols>
  <sheetData>
    <row r="1" spans="1:13" x14ac:dyDescent="0.2">
      <c r="A1">
        <v>1</v>
      </c>
      <c r="B1">
        <f>2 * (0.09695 + 0.09695 - (0.0006785 * (A1 - 1))) * A1</f>
        <v>0.38779999999999998</v>
      </c>
      <c r="C1">
        <v>0.42770000000000002</v>
      </c>
      <c r="D1">
        <f>(C1 - B1)*1000</f>
        <v>39.900000000000048</v>
      </c>
      <c r="E1" t="s">
        <v>11</v>
      </c>
      <c r="I1">
        <f>2 * (0.09695 + 0.09695 - (0.00067 * (A1 - 1))) * A1 + (G3/1000 * A1 * (A1 + 1) / 2)</f>
        <v>0.38158199999999998</v>
      </c>
      <c r="J1">
        <f>(C1-I1)*1000</f>
        <v>46.118000000000045</v>
      </c>
    </row>
    <row r="2" spans="1:13" x14ac:dyDescent="0.2">
      <c r="A2">
        <v>2</v>
      </c>
      <c r="B2">
        <f>2 * (0.09695 + 0.09695 - (0.0006785 * (A2 - 1))) * A2</f>
        <v>0.77288599999999996</v>
      </c>
      <c r="C2">
        <v>0.84830000000000005</v>
      </c>
      <c r="D2">
        <f>(C2 - B2)*1000</f>
        <v>75.414000000000087</v>
      </c>
      <c r="E2">
        <f t="shared" ref="E2:E12" si="0" xml:space="preserve"> D2 - D1</f>
        <v>35.514000000000038</v>
      </c>
      <c r="G2" t="s">
        <v>5</v>
      </c>
      <c r="I2">
        <f>2 * (0.09695 + 0.09695 - (0.00067 * (A2 - 1))) * A2 + (G3/1000 * A2 * (A2 + 1) / 2)</f>
        <v>0.75426599999999999</v>
      </c>
      <c r="J2">
        <f t="shared" ref="J2:J24" si="1">(C2-I2)*1000</f>
        <v>94.034000000000063</v>
      </c>
      <c r="K2">
        <f>J2-J1</f>
        <v>47.916000000000018</v>
      </c>
      <c r="M2" t="s">
        <v>8</v>
      </c>
    </row>
    <row r="3" spans="1:13" x14ac:dyDescent="0.2">
      <c r="A3">
        <v>3</v>
      </c>
      <c r="B3">
        <f>2 * (0.09695 + 0.09695 - (0.0006785 * (A3 - 1))) * A3</f>
        <v>1.1552579999999999</v>
      </c>
      <c r="C3">
        <v>1.2634000000000001</v>
      </c>
      <c r="D3">
        <f t="shared" ref="D3:D24" si="2">(C3 - B3)*1000</f>
        <v>108.14200000000018</v>
      </c>
      <c r="E3">
        <f t="shared" si="0"/>
        <v>32.728000000000094</v>
      </c>
      <c r="F3">
        <f>E3 - E2</f>
        <v>-2.7859999999999445</v>
      </c>
      <c r="G3">
        <f>ROUND(AVERAGE(F3:F24), 3)</f>
        <v>-6.218</v>
      </c>
      <c r="I3">
        <f>2 * (0.09695 + 0.09695 - (0.00067 * (A3 - 1))) * A3 + (G3/1000 * A3 * (A3 + 1) / 2)</f>
        <v>1.118052</v>
      </c>
      <c r="J3">
        <f t="shared" si="1"/>
        <v>145.34800000000004</v>
      </c>
      <c r="K3">
        <f t="shared" ref="K3:L24" si="3">J3-J2</f>
        <v>51.313999999999979</v>
      </c>
      <c r="L3">
        <f>K3-K2</f>
        <v>3.3979999999999606</v>
      </c>
      <c r="M3">
        <f>AVERAGE(K2:K24)</f>
        <v>61.733130434782694</v>
      </c>
    </row>
    <row r="4" spans="1:13" x14ac:dyDescent="0.2">
      <c r="A4">
        <v>4</v>
      </c>
      <c r="B4">
        <f>2 * (0.09695 + 0.09695 - (0.0006785 * (A4 - 1))) * A4</f>
        <v>1.5349159999999999</v>
      </c>
      <c r="C4">
        <v>1.6731</v>
      </c>
      <c r="D4">
        <f t="shared" si="2"/>
        <v>138.18400000000008</v>
      </c>
      <c r="E4">
        <f t="shared" si="0"/>
        <v>30.041999999999902</v>
      </c>
      <c r="F4">
        <f t="shared" ref="F4:F24" si="4">E4 - E3</f>
        <v>-2.6860000000001918</v>
      </c>
      <c r="I4">
        <f>2 * (0.09695 + 0.09695 - (0.00067 * (A4 - 1))) * A4 + (G3/1000 * A4 * (A4 + 1) / 2)</f>
        <v>1.4729399999999999</v>
      </c>
      <c r="J4">
        <f t="shared" si="1"/>
        <v>200.16000000000011</v>
      </c>
      <c r="K4">
        <f t="shared" si="3"/>
        <v>54.812000000000069</v>
      </c>
      <c r="L4">
        <f t="shared" si="3"/>
        <v>3.4980000000000899</v>
      </c>
    </row>
    <row r="5" spans="1:13" x14ac:dyDescent="0.2">
      <c r="A5">
        <v>5</v>
      </c>
      <c r="B5">
        <f>2 * (0.09695 + 0.09695 - (0.0006785 * (A5 - 1))) * A5</f>
        <v>1.9118599999999999</v>
      </c>
      <c r="C5">
        <v>2.0855999999999999</v>
      </c>
      <c r="D5">
        <f t="shared" si="2"/>
        <v>173.74</v>
      </c>
      <c r="E5">
        <f t="shared" si="0"/>
        <v>35.555999999999926</v>
      </c>
      <c r="F5">
        <f t="shared" si="4"/>
        <v>5.5140000000000242</v>
      </c>
      <c r="I5">
        <f>2 * (0.09695 + 0.09695 - (0.00067 * (A5 - 1))) * A5 + (G3/1000 * A5 * (A5 + 1) / 2)</f>
        <v>1.8189299999999999</v>
      </c>
      <c r="J5">
        <f t="shared" si="1"/>
        <v>266.66999999999996</v>
      </c>
      <c r="K5">
        <f t="shared" si="3"/>
        <v>66.509999999999849</v>
      </c>
      <c r="L5">
        <f t="shared" si="3"/>
        <v>11.69799999999978</v>
      </c>
    </row>
    <row r="6" spans="1:13" x14ac:dyDescent="0.2">
      <c r="A6">
        <v>6</v>
      </c>
      <c r="B6">
        <f>2 * (0.09695 + 0.09695 - (0.0006785 * (A6 - 1))) * A6</f>
        <v>2.2860899999999997</v>
      </c>
      <c r="C6">
        <v>2.4925999999999999</v>
      </c>
      <c r="D6">
        <f t="shared" si="2"/>
        <v>206.51000000000019</v>
      </c>
      <c r="E6">
        <f t="shared" si="0"/>
        <v>32.770000000000181</v>
      </c>
      <c r="F6">
        <f t="shared" si="4"/>
        <v>-2.7859999999997456</v>
      </c>
      <c r="I6">
        <f>2 * (0.09695 + 0.09695 - (0.00067 * (A6 - 1))) * A6 + (G3/1000 * A6 * (A6 + 1) / 2)</f>
        <v>2.1560220000000001</v>
      </c>
      <c r="J6">
        <f t="shared" si="1"/>
        <v>336.5779999999998</v>
      </c>
      <c r="K6">
        <f t="shared" si="3"/>
        <v>69.907999999999845</v>
      </c>
      <c r="L6">
        <f t="shared" si="3"/>
        <v>3.3979999999999961</v>
      </c>
    </row>
    <row r="7" spans="1:13" x14ac:dyDescent="0.2">
      <c r="A7">
        <v>7</v>
      </c>
      <c r="B7">
        <f>2 * (0.09695 + 0.09695 - (0.0006785 * (A7 - 1))) * A7</f>
        <v>2.6576059999999999</v>
      </c>
      <c r="C7">
        <v>2.8932000000000002</v>
      </c>
      <c r="D7">
        <f t="shared" si="2"/>
        <v>235.59400000000031</v>
      </c>
      <c r="E7">
        <f t="shared" si="0"/>
        <v>29.084000000000117</v>
      </c>
      <c r="F7">
        <f t="shared" si="4"/>
        <v>-3.6860000000000639</v>
      </c>
      <c r="I7">
        <f>2 * (0.09695 + 0.09695 - (0.00067 * (A7 - 1))) * A7 + (G3/1000 * A7 * (A7 + 1) / 2)</f>
        <v>2.484216</v>
      </c>
      <c r="J7">
        <f t="shared" si="1"/>
        <v>408.98400000000026</v>
      </c>
      <c r="K7">
        <f t="shared" si="3"/>
        <v>72.406000000000461</v>
      </c>
      <c r="L7">
        <f t="shared" si="3"/>
        <v>2.4980000000006157</v>
      </c>
    </row>
    <row r="8" spans="1:13" x14ac:dyDescent="0.2">
      <c r="A8">
        <v>8</v>
      </c>
      <c r="B8">
        <f>2 * (0.09695 + 0.09695 - (0.0006785 * (A8 - 1))) * A8</f>
        <v>3.026408</v>
      </c>
      <c r="C8">
        <v>3.2886000000000002</v>
      </c>
      <c r="D8">
        <f>(C8 - B8)*1000</f>
        <v>262.19200000000018</v>
      </c>
      <c r="E8">
        <f t="shared" si="0"/>
        <v>26.597999999999871</v>
      </c>
      <c r="F8">
        <f t="shared" si="4"/>
        <v>-2.4860000000002458</v>
      </c>
      <c r="I8">
        <f>2 * (0.09695 + 0.09695 - (0.00067 * (A8 - 1))) * A8 + (G3/1000 * A8 * (A8 + 1) / 2)</f>
        <v>2.803512</v>
      </c>
      <c r="J8">
        <f t="shared" si="1"/>
        <v>485.08800000000019</v>
      </c>
      <c r="K8">
        <f t="shared" si="3"/>
        <v>76.103999999999928</v>
      </c>
      <c r="L8">
        <f t="shared" si="3"/>
        <v>3.6979999999994675</v>
      </c>
    </row>
    <row r="9" spans="1:13" x14ac:dyDescent="0.2">
      <c r="A9">
        <v>9</v>
      </c>
      <c r="B9">
        <f>2 * (0.09695 + 0.09695 - (0.0006785 * (A9 - 1))) * A9</f>
        <v>3.392496</v>
      </c>
      <c r="C9">
        <v>3.6787000000000001</v>
      </c>
      <c r="D9">
        <f>(C9 - B9)*1000</f>
        <v>286.20400000000012</v>
      </c>
      <c r="E9">
        <f t="shared" si="0"/>
        <v>24.011999999999944</v>
      </c>
      <c r="F9">
        <f t="shared" si="4"/>
        <v>-2.5859999999999275</v>
      </c>
      <c r="I9">
        <f>2 * (0.09695 + 0.09695 - (0.00067 * (A9 - 1))) * A9 + (G3/1000 * A9 * (A9 + 1) / 2)</f>
        <v>3.1139099999999997</v>
      </c>
      <c r="J9">
        <f t="shared" si="1"/>
        <v>564.7900000000003</v>
      </c>
      <c r="K9">
        <f t="shared" si="3"/>
        <v>79.702000000000112</v>
      </c>
      <c r="L9">
        <f t="shared" si="3"/>
        <v>3.5980000000001837</v>
      </c>
    </row>
    <row r="10" spans="1:13" x14ac:dyDescent="0.2">
      <c r="A10">
        <v>10</v>
      </c>
      <c r="B10">
        <f>2 * (0.09695 + 0.09695 - (0.0006785 * (A10 - 1))) * A10</f>
        <v>3.7558699999999998</v>
      </c>
      <c r="C10">
        <v>4.0629</v>
      </c>
      <c r="D10">
        <f t="shared" si="2"/>
        <v>307.03000000000014</v>
      </c>
      <c r="E10">
        <f t="shared" si="0"/>
        <v>20.826000000000022</v>
      </c>
      <c r="F10">
        <f t="shared" si="4"/>
        <v>-3.1859999999999218</v>
      </c>
      <c r="I10">
        <f>2 * (0.09695 + 0.09695 - (0.00067 * (A10 - 1))) * A10 + (G3/1000 * A10 * (A10 + 1) / 2)</f>
        <v>3.4154099999999996</v>
      </c>
      <c r="J10">
        <f t="shared" si="1"/>
        <v>647.49000000000035</v>
      </c>
      <c r="K10">
        <f t="shared" si="3"/>
        <v>82.700000000000045</v>
      </c>
      <c r="L10">
        <f t="shared" si="3"/>
        <v>2.9979999999999336</v>
      </c>
    </row>
    <row r="11" spans="1:13" x14ac:dyDescent="0.2">
      <c r="A11">
        <v>11</v>
      </c>
      <c r="B11">
        <f>2 * (0.09695 + 0.09695 - (0.0006785 * (A11 - 1))) * A11</f>
        <v>4.1165299999999991</v>
      </c>
      <c r="C11">
        <v>4.4413</v>
      </c>
      <c r="D11">
        <f t="shared" si="2"/>
        <v>324.77000000000089</v>
      </c>
      <c r="E11">
        <f t="shared" si="0"/>
        <v>17.740000000000748</v>
      </c>
      <c r="F11">
        <f t="shared" si="4"/>
        <v>-3.0859999999992738</v>
      </c>
      <c r="I11">
        <f>2 * (0.09695 + 0.09695 - (0.00067 * (A11 - 1))) * A11 + (G3/1000 * A11 * (A11 + 1) / 2)</f>
        <v>3.7080119999999992</v>
      </c>
      <c r="J11">
        <f t="shared" si="1"/>
        <v>733.28800000000081</v>
      </c>
      <c r="K11">
        <f t="shared" si="3"/>
        <v>85.798000000000457</v>
      </c>
      <c r="L11">
        <f t="shared" si="3"/>
        <v>3.0980000000004111</v>
      </c>
    </row>
    <row r="12" spans="1:13" x14ac:dyDescent="0.2">
      <c r="A12">
        <v>12</v>
      </c>
      <c r="B12">
        <f>2 * (0.09695 + 0.09695 - (0.0006785 * (A12 - 1))) * A12</f>
        <v>4.4744759999999992</v>
      </c>
      <c r="C12">
        <v>4.8144</v>
      </c>
      <c r="D12">
        <f t="shared" si="2"/>
        <v>339.92400000000077</v>
      </c>
      <c r="E12">
        <f t="shared" si="0"/>
        <v>15.153999999999883</v>
      </c>
      <c r="F12">
        <f t="shared" si="4"/>
        <v>-2.5860000000008654</v>
      </c>
      <c r="I12">
        <f>2 * (0.09695 + 0.09695 - (0.00067 * (A12 - 1))) * A12 + (G3/1000 * A12 * (A12 + 1) / 2)</f>
        <v>3.9917160000000003</v>
      </c>
      <c r="J12">
        <f t="shared" si="1"/>
        <v>822.68399999999974</v>
      </c>
      <c r="K12">
        <f t="shared" si="3"/>
        <v>89.395999999998935</v>
      </c>
      <c r="L12">
        <f t="shared" si="3"/>
        <v>3.5979999999984784</v>
      </c>
    </row>
    <row r="13" spans="1:13" x14ac:dyDescent="0.2">
      <c r="A13">
        <v>13</v>
      </c>
      <c r="B13">
        <f>2 * (0.09695 + 0.09695 - (0.0006785 * (A13 - 1))) * A13</f>
        <v>4.8297079999999992</v>
      </c>
      <c r="C13">
        <v>5.1795999999999998</v>
      </c>
      <c r="D13">
        <f t="shared" si="2"/>
        <v>349.89200000000051</v>
      </c>
      <c r="E13">
        <f t="shared" ref="E13:E24" si="5" xml:space="preserve"> D13 - D12</f>
        <v>9.9679999999997335</v>
      </c>
      <c r="F13">
        <f t="shared" si="4"/>
        <v>-5.1860000000001492</v>
      </c>
      <c r="I13">
        <f>2 * (0.09695 + 0.09695 - (0.00067 * (A13 - 1))) * A13 + (G3/1000 * A13 * (A13 + 1) / 2)</f>
        <v>4.2665219999999993</v>
      </c>
      <c r="J13">
        <f t="shared" si="1"/>
        <v>913.07800000000054</v>
      </c>
      <c r="K13">
        <f t="shared" si="3"/>
        <v>90.394000000000801</v>
      </c>
      <c r="L13">
        <f t="shared" si="3"/>
        <v>0.99800000000186628</v>
      </c>
    </row>
    <row r="14" spans="1:13" x14ac:dyDescent="0.2">
      <c r="A14">
        <v>14</v>
      </c>
      <c r="B14">
        <f>2 * (0.09695 + 0.09695 - (0.0006785 * (A14 - 1))) * A14</f>
        <v>5.1822259999999991</v>
      </c>
      <c r="C14">
        <v>5.5263</v>
      </c>
      <c r="D14">
        <f t="shared" si="2"/>
        <v>344.07400000000086</v>
      </c>
      <c r="E14">
        <f t="shared" si="5"/>
        <v>-5.8179999999996426</v>
      </c>
      <c r="F14">
        <f t="shared" si="4"/>
        <v>-15.785999999999376</v>
      </c>
      <c r="I14">
        <f>2 * (0.09695 + 0.09695 - (0.00067 * (A14 - 1))) * A14 + (G3/1000 * A14 * (A14 + 1) / 2)</f>
        <v>4.5324299999999997</v>
      </c>
      <c r="J14">
        <f t="shared" si="1"/>
        <v>993.87000000000023</v>
      </c>
      <c r="K14">
        <f t="shared" si="3"/>
        <v>80.791999999999689</v>
      </c>
      <c r="L14">
        <f t="shared" si="3"/>
        <v>-9.6020000000011123</v>
      </c>
    </row>
    <row r="15" spans="1:13" x14ac:dyDescent="0.2">
      <c r="A15">
        <v>15</v>
      </c>
      <c r="B15">
        <f>2 * (0.09695 + 0.09695 - (0.0006785 * (A15 - 1))) * A15</f>
        <v>5.5320299999999998</v>
      </c>
      <c r="C15">
        <v>5.8548999999999998</v>
      </c>
      <c r="D15">
        <f t="shared" si="2"/>
        <v>322.87</v>
      </c>
      <c r="E15">
        <f t="shared" si="5"/>
        <v>-21.20400000000086</v>
      </c>
      <c r="F15">
        <f t="shared" si="4"/>
        <v>-15.386000000001218</v>
      </c>
      <c r="I15">
        <f>2 * (0.09695 + 0.09695 - (0.00067 * (A15 - 1))) * A15 + (G3/1000 * A15 * (A15 + 1) / 2)</f>
        <v>4.7894399999999999</v>
      </c>
      <c r="J15">
        <f t="shared" si="1"/>
        <v>1065.4599999999998</v>
      </c>
      <c r="K15">
        <f t="shared" si="3"/>
        <v>71.589999999999577</v>
      </c>
      <c r="L15">
        <f t="shared" si="3"/>
        <v>-9.2020000000001119</v>
      </c>
    </row>
    <row r="16" spans="1:13" x14ac:dyDescent="0.2">
      <c r="A16">
        <v>16</v>
      </c>
      <c r="B16">
        <f>2 * (0.09695 + 0.09695 - (0.0006785 * (A16 - 1))) * A16</f>
        <v>5.8791199999999995</v>
      </c>
      <c r="C16">
        <v>6.165</v>
      </c>
      <c r="D16">
        <f t="shared" si="2"/>
        <v>285.88000000000056</v>
      </c>
      <c r="E16">
        <f t="shared" si="5"/>
        <v>-36.989999999999441</v>
      </c>
      <c r="F16">
        <f t="shared" si="4"/>
        <v>-15.78599999999858</v>
      </c>
      <c r="I16">
        <f>2 * (0.09695 + 0.09695 - (0.00067 * (A16 - 1))) * A16 + (G3/1000 * A16 * (A16 + 1) / 2)</f>
        <v>5.0375519999999998</v>
      </c>
      <c r="J16">
        <f t="shared" si="1"/>
        <v>1127.4480000000003</v>
      </c>
      <c r="K16">
        <f t="shared" si="3"/>
        <v>61.988000000000511</v>
      </c>
      <c r="L16">
        <f t="shared" si="3"/>
        <v>-9.6019999999990659</v>
      </c>
    </row>
    <row r="17" spans="1:12" x14ac:dyDescent="0.2">
      <c r="A17">
        <v>17</v>
      </c>
      <c r="B17">
        <f>2 * (0.09695 + 0.09695 - (0.0006785 * (A17 - 1))) * A17</f>
        <v>6.223495999999999</v>
      </c>
      <c r="C17">
        <v>6.4569999999999999</v>
      </c>
      <c r="D17">
        <f t="shared" si="2"/>
        <v>233.50400000000081</v>
      </c>
      <c r="E17">
        <f t="shared" si="5"/>
        <v>-52.375999999999749</v>
      </c>
      <c r="F17">
        <f t="shared" si="4"/>
        <v>-15.386000000000308</v>
      </c>
      <c r="I17">
        <f>2 * (0.09695 + 0.09695 - (0.00067 * (A17 - 1))) * A17 + (G3/1000 * A17 * (A17 + 1) / 2)</f>
        <v>5.2767659999999994</v>
      </c>
      <c r="J17">
        <f t="shared" si="1"/>
        <v>1180.2340000000004</v>
      </c>
      <c r="K17">
        <f t="shared" si="3"/>
        <v>52.786000000000058</v>
      </c>
      <c r="L17">
        <f t="shared" si="3"/>
        <v>-9.2020000000004529</v>
      </c>
    </row>
    <row r="18" spans="1:12" x14ac:dyDescent="0.2">
      <c r="A18">
        <v>18</v>
      </c>
      <c r="B18">
        <f>2 * (0.09695 + 0.09695 - (0.0006785 * (A18 - 1))) * A18</f>
        <v>6.5651579999999994</v>
      </c>
      <c r="C18">
        <v>6.7305999999999999</v>
      </c>
      <c r="D18">
        <f t="shared" si="2"/>
        <v>165.44200000000052</v>
      </c>
      <c r="E18">
        <f t="shared" si="5"/>
        <v>-68.062000000000296</v>
      </c>
      <c r="F18">
        <f t="shared" si="4"/>
        <v>-15.686000000000547</v>
      </c>
      <c r="I18">
        <f>2 * (0.09695 + 0.09695 - (0.00067 * (A18 - 1))) * A18 + (G3/1000 * A18 * (A18 + 1) / 2)</f>
        <v>5.5070819999999987</v>
      </c>
      <c r="J18">
        <f t="shared" si="1"/>
        <v>1223.5180000000012</v>
      </c>
      <c r="K18">
        <f t="shared" si="3"/>
        <v>43.284000000000788</v>
      </c>
      <c r="L18">
        <f t="shared" si="3"/>
        <v>-9.5019999999992706</v>
      </c>
    </row>
    <row r="19" spans="1:12" x14ac:dyDescent="0.2">
      <c r="A19">
        <v>19</v>
      </c>
      <c r="B19">
        <f>2 * (0.09695 + 0.09695 - (0.0006785 * (A19 - 1))) * A19</f>
        <v>6.9041059999999996</v>
      </c>
      <c r="C19">
        <v>6.9874000000000001</v>
      </c>
      <c r="D19">
        <f t="shared" si="2"/>
        <v>83.294000000000423</v>
      </c>
      <c r="E19">
        <f t="shared" si="5"/>
        <v>-82.148000000000096</v>
      </c>
      <c r="F19">
        <f t="shared" si="4"/>
        <v>-14.0859999999998</v>
      </c>
      <c r="I19">
        <f>2 * (0.09695 + 0.09695 - (0.00067 * (A19 - 1))) * A19 + (G3/1000 * A19 * (A19 + 1) / 2)</f>
        <v>5.7284999999999995</v>
      </c>
      <c r="J19">
        <f t="shared" si="1"/>
        <v>1258.9000000000005</v>
      </c>
      <c r="K19">
        <f t="shared" si="3"/>
        <v>35.38199999999938</v>
      </c>
      <c r="L19">
        <f t="shared" si="3"/>
        <v>-7.9020000000014079</v>
      </c>
    </row>
    <row r="20" spans="1:12" x14ac:dyDescent="0.2">
      <c r="A20">
        <v>20</v>
      </c>
      <c r="B20">
        <f>2 * (0.09695 + 0.09695 - (0.0006785 * (A20 - 1))) * A20</f>
        <v>7.2403399999999998</v>
      </c>
      <c r="C20">
        <v>7.2370999999999999</v>
      </c>
      <c r="D20">
        <f t="shared" si="2"/>
        <v>-3.2399999999999096</v>
      </c>
      <c r="E20">
        <f t="shared" si="5"/>
        <v>-86.534000000000333</v>
      </c>
      <c r="F20">
        <f t="shared" si="4"/>
        <v>-4.3860000000002373</v>
      </c>
      <c r="I20">
        <f>2 * (0.09695 + 0.09695 - (0.00067 * (A20 - 1))) * A20 + (G3/1000 * A20 * (A20 + 1) / 2)</f>
        <v>5.94102</v>
      </c>
      <c r="J20">
        <f t="shared" si="1"/>
        <v>1296.08</v>
      </c>
      <c r="K20">
        <f t="shared" si="3"/>
        <v>37.179999999999382</v>
      </c>
      <c r="L20">
        <f t="shared" si="3"/>
        <v>1.7980000000000018</v>
      </c>
    </row>
    <row r="21" spans="1:12" x14ac:dyDescent="0.2">
      <c r="A21">
        <v>21</v>
      </c>
      <c r="B21">
        <f>2 * (0.09695 + 0.09695 - (0.0006785 * (A21 - 1))) * A21</f>
        <v>7.5738599999999998</v>
      </c>
      <c r="C21">
        <v>7.4790999999999999</v>
      </c>
      <c r="D21">
        <f t="shared" si="2"/>
        <v>-94.759999999999962</v>
      </c>
      <c r="E21">
        <f t="shared" si="5"/>
        <v>-91.520000000000053</v>
      </c>
      <c r="F21">
        <f t="shared" si="4"/>
        <v>-4.98599999999972</v>
      </c>
      <c r="I21">
        <f>2 * (0.09695 + 0.09695 - (0.00067 * (A21 - 1))) * A21 + (G3/1000 * A21 * (A21 + 1) / 2)</f>
        <v>6.1446419999999993</v>
      </c>
      <c r="J21">
        <f t="shared" si="1"/>
        <v>1334.4580000000005</v>
      </c>
      <c r="K21">
        <f t="shared" si="3"/>
        <v>38.378000000000611</v>
      </c>
      <c r="L21">
        <f t="shared" si="3"/>
        <v>1.1980000000012296</v>
      </c>
    </row>
    <row r="22" spans="1:12" x14ac:dyDescent="0.2">
      <c r="A22">
        <v>22</v>
      </c>
      <c r="B22">
        <f>2 * (0.09695 + 0.09695 - (0.0006785 * (A22 - 1))) * A22</f>
        <v>7.9046659999999997</v>
      </c>
      <c r="C22">
        <v>7.7141000000000002</v>
      </c>
      <c r="D22">
        <f t="shared" si="2"/>
        <v>-190.56599999999958</v>
      </c>
      <c r="E22">
        <f t="shared" si="5"/>
        <v>-95.805999999999614</v>
      </c>
      <c r="F22">
        <f t="shared" si="4"/>
        <v>-4.2859999999995608</v>
      </c>
      <c r="I22">
        <f>2 * (0.09695 + 0.09695 - (0.00067 * (A22 - 1))) * A22 + (G3/1000 * A22 * (A22 + 1) / 2)</f>
        <v>6.3393660000000001</v>
      </c>
      <c r="J22">
        <f t="shared" si="1"/>
        <v>1374.7340000000002</v>
      </c>
      <c r="K22">
        <f t="shared" si="3"/>
        <v>40.275999999999613</v>
      </c>
      <c r="L22">
        <f t="shared" si="3"/>
        <v>1.8979999999990014</v>
      </c>
    </row>
    <row r="23" spans="1:12" x14ac:dyDescent="0.2">
      <c r="A23">
        <v>23</v>
      </c>
      <c r="B23">
        <f>2 * (0.09695 + 0.09695 - (0.0006785 * (A23 - 1))) * A23</f>
        <v>8.2327580000000005</v>
      </c>
      <c r="C23">
        <v>7.944</v>
      </c>
      <c r="D23">
        <f t="shared" si="2"/>
        <v>-288.75800000000049</v>
      </c>
      <c r="E23">
        <f t="shared" si="5"/>
        <v>-98.192000000000917</v>
      </c>
      <c r="F23">
        <f t="shared" si="4"/>
        <v>-2.3860000000013031</v>
      </c>
      <c r="I23">
        <f>2 * (0.09695 + 0.09695 - (0.00067 * (A23 - 1))) * A23 + (G3/1000 * A23 * (A23 + 1) / 2)</f>
        <v>6.5251920000000005</v>
      </c>
      <c r="J23">
        <f t="shared" si="1"/>
        <v>1418.8079999999993</v>
      </c>
      <c r="K23">
        <f t="shared" si="3"/>
        <v>44.07399999999916</v>
      </c>
      <c r="L23">
        <f t="shared" si="3"/>
        <v>3.7979999999995471</v>
      </c>
    </row>
    <row r="24" spans="1:12" x14ac:dyDescent="0.2">
      <c r="A24">
        <v>24</v>
      </c>
      <c r="B24">
        <f>2 * (0.09695 + 0.09695 - (0.0006785 * (A24 - 1))) * A24</f>
        <v>8.5581359999999993</v>
      </c>
      <c r="C24">
        <v>8.1681000000000008</v>
      </c>
      <c r="D24">
        <f t="shared" si="2"/>
        <v>-390.03599999999847</v>
      </c>
      <c r="E24">
        <f t="shared" si="5"/>
        <v>-101.27799999999797</v>
      </c>
      <c r="F24">
        <f t="shared" si="4"/>
        <v>-3.0859999999970569</v>
      </c>
      <c r="I24">
        <f>2 * (0.09695 + 0.09695 - (0.00067 * (A24 - 1))) * A24 + (G3/1000 * A24 * (A24 + 1) / 2)</f>
        <v>6.702119999999999</v>
      </c>
      <c r="J24">
        <f t="shared" si="1"/>
        <v>1465.9800000000018</v>
      </c>
      <c r="K24">
        <f t="shared" si="3"/>
        <v>47.172000000002527</v>
      </c>
      <c r="L24">
        <f t="shared" si="3"/>
        <v>3.0980000000033669</v>
      </c>
    </row>
    <row r="26" spans="1:12" x14ac:dyDescent="0.2">
      <c r="L26">
        <f>AVERAGE(L3:L24)</f>
        <v>-3.3818181818067797E-2</v>
      </c>
    </row>
    <row r="31" spans="1:12" x14ac:dyDescent="0.2">
      <c r="B31" t="s">
        <v>0</v>
      </c>
      <c r="C31" t="s">
        <v>1</v>
      </c>
      <c r="D31" t="s">
        <v>2</v>
      </c>
      <c r="E31" t="s">
        <v>3</v>
      </c>
      <c r="F31" t="s">
        <v>4</v>
      </c>
      <c r="I31" t="s">
        <v>9</v>
      </c>
      <c r="J31" t="s">
        <v>6</v>
      </c>
      <c r="K31" t="s">
        <v>7</v>
      </c>
      <c r="L31" t="s">
        <v>4</v>
      </c>
    </row>
    <row r="37" spans="2:4" x14ac:dyDescent="0.2">
      <c r="B37">
        <f>2 * (0.09695 + 0.09695 - (0.00067 * (A1 - 1))) *A1 + (G3/1000 * A1 * (A1 + 1) / 2) + (M3/1000 *A1)</f>
        <v>0.44331513043478266</v>
      </c>
      <c r="C37">
        <f>(C1-B37)*1000</f>
        <v>-15.615130434782632</v>
      </c>
    </row>
    <row r="38" spans="2:4" x14ac:dyDescent="0.2">
      <c r="B38">
        <f>2 * (0.09695 + 0.09695 - (0.00067 * (A2 - 1))) *A2 + (G3/1000 * A2 * (A2 + 1) / 2) + (M3/1000 *A2)</f>
        <v>0.87773226086956535</v>
      </c>
      <c r="C38">
        <f>(C2-B38)*1000</f>
        <v>-29.432260869565297</v>
      </c>
      <c r="D38">
        <f>C38-C37</f>
        <v>-13.817130434782666</v>
      </c>
    </row>
    <row r="39" spans="2:4" x14ac:dyDescent="0.2">
      <c r="B39">
        <f>2 * (0.09695 + 0.09695 - (0.00067 * (A3 - 1))) *A3 + (G3/1000 * A3 * (A3 + 1) / 2) + (M3/1000 *A3)</f>
        <v>1.3032513913043482</v>
      </c>
      <c r="C39">
        <f>(C3-B39)*1000</f>
        <v>-39.851391304348112</v>
      </c>
      <c r="D39">
        <f t="shared" ref="D39:D60" si="6">C39-C38</f>
        <v>-10.419130434782815</v>
      </c>
    </row>
    <row r="40" spans="2:4" x14ac:dyDescent="0.2">
      <c r="B40">
        <f>2 * (0.09695 + 0.09695 - (0.00067 * (A4 - 1))) *A4 + (G3/1000 * A4 * (A4 + 1) / 2) + (M3/1000 *A4)</f>
        <v>1.7198725217391306</v>
      </c>
      <c r="C40">
        <f>(C4-B40)*1000</f>
        <v>-46.772521739130603</v>
      </c>
      <c r="D40">
        <f t="shared" si="6"/>
        <v>-6.9211304347824907</v>
      </c>
    </row>
    <row r="41" spans="2:4" x14ac:dyDescent="0.2">
      <c r="B41">
        <f>2 * (0.09695 + 0.09695 - (0.00067 * (A5 - 1))) *A5 + (G3/1000 * A5 * (A5 + 1) / 2) + (M3/1000 *A5)</f>
        <v>2.1275956521739134</v>
      </c>
      <c r="C41">
        <f>(C5-B41)*1000</f>
        <v>-41.995652173913541</v>
      </c>
      <c r="D41">
        <f t="shared" si="6"/>
        <v>4.7768695652170621</v>
      </c>
    </row>
    <row r="42" spans="2:4" x14ac:dyDescent="0.2">
      <c r="B42">
        <f>2 * (0.09695 + 0.09695 - (0.00067 * (A6 - 1))) *A6 + (G3/1000 * A6 * (A6 + 1) / 2) + (M3/1000 *A6)</f>
        <v>2.5264207826086964</v>
      </c>
      <c r="C42">
        <f>(C6-B42)*1000</f>
        <v>-33.820782608696476</v>
      </c>
      <c r="D42">
        <f t="shared" si="6"/>
        <v>8.1748695652170653</v>
      </c>
    </row>
    <row r="43" spans="2:4" x14ac:dyDescent="0.2">
      <c r="B43">
        <f>2 * (0.09695 + 0.09695 - (0.00067 * (A7 - 1))) *A7 + (G3/1000 * A7 * (A7 + 1) / 2) + (M3/1000 *A7)</f>
        <v>2.9163479130434791</v>
      </c>
      <c r="C43">
        <f>(C7-B43)*1000</f>
        <v>-23.147913043478852</v>
      </c>
      <c r="D43">
        <f t="shared" si="6"/>
        <v>10.672869565217624</v>
      </c>
    </row>
    <row r="44" spans="2:4" x14ac:dyDescent="0.2">
      <c r="B44">
        <f>2 * (0.09695 + 0.09695 - (0.00067 * (A8 - 1))) *A8 + (G3/1000 * A8 * (A8 + 1) / 2) + (M3/1000 *A8)</f>
        <v>3.2973770434782614</v>
      </c>
      <c r="C44">
        <f>(C8-B44)*1000</f>
        <v>-8.7770434782612483</v>
      </c>
      <c r="D44">
        <f t="shared" si="6"/>
        <v>14.370869565217603</v>
      </c>
    </row>
    <row r="45" spans="2:4" x14ac:dyDescent="0.2">
      <c r="B45">
        <f>2 * (0.09695 + 0.09695 - (0.00067 * (A9 - 1))) *A9 + (G3/1000 * A9 * (A9 + 1) / 2) + (M3/1000 *A9)</f>
        <v>3.669508173913044</v>
      </c>
      <c r="C45">
        <f>(C9-B45)*1000</f>
        <v>9.191826086956123</v>
      </c>
      <c r="D45">
        <f t="shared" si="6"/>
        <v>17.968869565217371</v>
      </c>
    </row>
    <row r="46" spans="2:4" x14ac:dyDescent="0.2">
      <c r="B46">
        <f>2 * (0.09695 + 0.09695 - (0.00067 * (A10 - 1))) *A10 + (G3/1000 * A10 * (A10 + 1) / 2) + (M3/1000 *A10)</f>
        <v>4.0327413043478266</v>
      </c>
      <c r="C46">
        <f>(C10-B46)*1000</f>
        <v>30.158695652173328</v>
      </c>
      <c r="D46">
        <f t="shared" si="6"/>
        <v>20.966869565217205</v>
      </c>
    </row>
    <row r="47" spans="2:4" x14ac:dyDescent="0.2">
      <c r="B47">
        <f>2 * (0.09695 + 0.09695 - (0.00067 * (A11 - 1))) *A11 + (G3/1000 * A11 * (A11 + 1) / 2) + (M3/1000 *A11)</f>
        <v>4.3870764347826086</v>
      </c>
      <c r="C47">
        <f>(C11-B47)*1000</f>
        <v>54.223565217391467</v>
      </c>
      <c r="D47">
        <f t="shared" si="6"/>
        <v>24.064869565218139</v>
      </c>
    </row>
    <row r="48" spans="2:4" x14ac:dyDescent="0.2">
      <c r="B48">
        <f>2 * (0.09695 + 0.09695 - (0.00067 * (A12 - 1))) *A12 + (G3/1000 * A12 * (A12 + 1) / 2) + (M3/1000 *A12)</f>
        <v>4.7325135652173929</v>
      </c>
      <c r="C48">
        <f>(C12-B48)*1000</f>
        <v>81.886434782607154</v>
      </c>
      <c r="D48">
        <f t="shared" si="6"/>
        <v>27.662869565215686</v>
      </c>
    </row>
    <row r="49" spans="2:4" x14ac:dyDescent="0.2">
      <c r="B49">
        <f>2 * (0.09695 + 0.09695 - (0.00067 * (A13 - 1))) *A13 + (G3/1000 * A13 * (A13 + 1) / 2) + (M3/1000 *A13)</f>
        <v>5.0690526956521742</v>
      </c>
      <c r="C49">
        <f>(C13-B49)*1000</f>
        <v>110.54730434782556</v>
      </c>
      <c r="D49">
        <f t="shared" si="6"/>
        <v>28.660869565218405</v>
      </c>
    </row>
    <row r="50" spans="2:4" x14ac:dyDescent="0.2">
      <c r="B50">
        <f>2 * (0.09695 + 0.09695 - (0.00067 * (A14 - 1))) *A14 + (G3/1000 * A14 * (A14 + 1) / 2) + (M3/1000 *A14)</f>
        <v>5.3966938260869579</v>
      </c>
      <c r="C50">
        <f>(C14-B50)*1000</f>
        <v>129.60617391304208</v>
      </c>
      <c r="D50">
        <f t="shared" si="6"/>
        <v>19.058869565216526</v>
      </c>
    </row>
    <row r="51" spans="2:4" x14ac:dyDescent="0.2">
      <c r="B51">
        <f>2 * (0.09695 + 0.09695 - (0.00067 * (A15 - 1))) *A15 + (G3/1000 * A15 * (A15 + 1) / 2) + (M3/1000 *A15)</f>
        <v>5.7154369565217404</v>
      </c>
      <c r="C51">
        <f>(C15-B51)*1000</f>
        <v>139.46304347825932</v>
      </c>
      <c r="D51">
        <f t="shared" si="6"/>
        <v>9.856869565217238</v>
      </c>
    </row>
    <row r="52" spans="2:4" x14ac:dyDescent="0.2">
      <c r="B52">
        <f>2 * (0.09695 + 0.09695 - (0.00067 * (A16 - 1))) *A16 + (G3/1000 * A16 * (A16 + 1) / 2) + (M3/1000 *A16)</f>
        <v>6.0252820869565227</v>
      </c>
      <c r="C52">
        <f>(C16-B52)*1000</f>
        <v>139.71791304347735</v>
      </c>
      <c r="D52">
        <f t="shared" si="6"/>
        <v>0.25486956521802995</v>
      </c>
    </row>
    <row r="53" spans="2:4" x14ac:dyDescent="0.2">
      <c r="B53">
        <f>2 * (0.09695 + 0.09695 - (0.00067 * (A17 - 1))) *A17 + (G3/1000 * A17 * (A17 + 1) / 2) + (M3/1000 *A17)</f>
        <v>6.3262292173913055</v>
      </c>
      <c r="C53">
        <f>(C17-B53)*1000</f>
        <v>130.77078260869433</v>
      </c>
      <c r="D53">
        <f t="shared" si="6"/>
        <v>-8.9471304347830198</v>
      </c>
    </row>
    <row r="54" spans="2:4" x14ac:dyDescent="0.2">
      <c r="B54">
        <f>2 * (0.09695 + 0.09695 - (0.00067 * (A18 - 1))) *A18 + (G3/1000 * A18 * (A18 + 1) / 2) + (M3/1000 *A18)</f>
        <v>6.6182783478260871</v>
      </c>
      <c r="C54">
        <f>(C18-B54)*1000</f>
        <v>112.32165217391277</v>
      </c>
      <c r="D54">
        <f t="shared" si="6"/>
        <v>-18.449130434781566</v>
      </c>
    </row>
    <row r="55" spans="2:4" x14ac:dyDescent="0.2">
      <c r="B55">
        <f>2 * (0.09695 + 0.09695 - (0.00067 * (A19 - 1))) *A19 + (G3/1000 * A19 * (A19 + 1) / 2) + (M3/1000 *A19)</f>
        <v>6.9014294782608712</v>
      </c>
      <c r="C55">
        <f>(C19-B55)*1000</f>
        <v>85.970521739128884</v>
      </c>
      <c r="D55">
        <f t="shared" si="6"/>
        <v>-26.351130434783883</v>
      </c>
    </row>
    <row r="56" spans="2:4" x14ac:dyDescent="0.2">
      <c r="B56">
        <f>2 * (0.09695 + 0.09695 - (0.00067 * (A20 - 1))) *A20 + (G3/1000 * A20 * (A20 + 1) / 2) + (M3/1000 *A20)</f>
        <v>7.175682608695654</v>
      </c>
      <c r="C56">
        <f>(C20-B56)*1000</f>
        <v>61.41739130434587</v>
      </c>
      <c r="D56">
        <f t="shared" si="6"/>
        <v>-24.553130434783014</v>
      </c>
    </row>
    <row r="57" spans="2:4" x14ac:dyDescent="0.2">
      <c r="B57">
        <f>2 * (0.09695 + 0.09695 - (0.00067 * (A21 - 1))) *A21 + (G3/1000 * A21 * (A21 + 1) / 2) + (M3/1000 *A21)</f>
        <v>7.4410377391304356</v>
      </c>
      <c r="C57">
        <f>(C21-B57)*1000</f>
        <v>38.062260869564213</v>
      </c>
      <c r="D57">
        <f t="shared" si="6"/>
        <v>-23.355130434781657</v>
      </c>
    </row>
    <row r="58" spans="2:4" x14ac:dyDescent="0.2">
      <c r="B58">
        <f>2 * (0.09695 + 0.09695 - (0.00067 * (A22 - 1))) *A22 + (G3/1000 * A22 * (A22 + 1) / 2) + (M3/1000 *A22)</f>
        <v>7.6974948695652188</v>
      </c>
      <c r="C58">
        <f>(C22-B58)*1000</f>
        <v>16.605130434781401</v>
      </c>
      <c r="D58">
        <f t="shared" si="6"/>
        <v>-21.457130434782812</v>
      </c>
    </row>
    <row r="59" spans="2:4" x14ac:dyDescent="0.2">
      <c r="B59">
        <f>2 * (0.09695 + 0.09695 - (0.00067 * (A23 - 1))) *A23 + (G3/1000 * A23 * (A23 + 1) / 2) + (M3/1000 *A23)</f>
        <v>7.9450540000000025</v>
      </c>
      <c r="C59">
        <f>(C23-B59)*1000</f>
        <v>-1.0540000000025529</v>
      </c>
      <c r="D59">
        <f t="shared" si="6"/>
        <v>-17.659130434783954</v>
      </c>
    </row>
    <row r="60" spans="2:4" x14ac:dyDescent="0.2">
      <c r="B60">
        <f>2 * (0.09695 + 0.09695 - (0.00067 * (A24 - 1))) *A24 + (G3/1000 * A24 * (A24 + 1) / 2) + (M3/1000 *A24)</f>
        <v>8.1837151304347842</v>
      </c>
      <c r="C60">
        <f>(C24-B60)*1000</f>
        <v>-15.615130434783353</v>
      </c>
      <c r="D60">
        <f t="shared" si="6"/>
        <v>-14.5611304347808</v>
      </c>
    </row>
    <row r="62" spans="2:4" x14ac:dyDescent="0.2">
      <c r="D62">
        <f>AVERAGE(D38:D60)</f>
        <v>-3.1511025672839227E-14</v>
      </c>
    </row>
    <row r="63" spans="2:4" x14ac:dyDescent="0.2">
      <c r="B63" t="s">
        <v>10</v>
      </c>
      <c r="C63" t="s">
        <v>2</v>
      </c>
      <c r="D6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 Khera</dc:creator>
  <cp:lastModifiedBy>Neil Khera</cp:lastModifiedBy>
  <dcterms:created xsi:type="dcterms:W3CDTF">2024-12-22T19:23:14Z</dcterms:created>
  <dcterms:modified xsi:type="dcterms:W3CDTF">2025-04-30T23:11:09Z</dcterms:modified>
</cp:coreProperties>
</file>